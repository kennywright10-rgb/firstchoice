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lient Info" sheetId="1" state="visible" r:id="rId3"/>
    <sheet name="📍 GBP Audit" sheetId="2" state="visible" r:id="rId4"/>
    <sheet name="⭐ Review Velocity" sheetId="3" state="visible" r:id="rId5"/>
    <sheet name="🤖 AI Visibility" sheetId="4" state="visible" r:id="rId6"/>
    <sheet name="🌐 Website Gap" sheetId="5" state="visible" r:id="rId7"/>
    <sheet name="🏆 Competitor Matrix" sheetId="6" state="visible" r:id="rId8"/>
    <sheet name="📋 Action Pla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<sst xmlns="http://schemas.openxmlformats.org/spreadsheetml/2006/main" count="302" uniqueCount="203">
  <si>
    <t xml:space="preserve">First Choice Med Spas — Practice Audit</t>
  </si>
  <si>
    <t xml:space="preserve">Complete this tab before starting the audit. Yellow cells = fields to fill in.</t>
  </si>
  <si>
    <t xml:space="preserve">  PRACTICE INFORMATION</t>
  </si>
  <si>
    <t xml:space="preserve">Practice Name</t>
  </si>
  <si>
    <t xml:space="preserve">Owner / Medical Director</t>
  </si>
  <si>
    <t xml:space="preserve">Practice Manager / Contact</t>
  </si>
  <si>
    <t xml:space="preserve">Phone Number</t>
  </si>
  <si>
    <t xml:space="preserve">Email Address</t>
  </si>
  <si>
    <t xml:space="preserve">Website URL</t>
  </si>
  <si>
    <t xml:space="preserve">Google Business Profile URL</t>
  </si>
  <si>
    <t xml:space="preserve">City</t>
  </si>
  <si>
    <t xml:space="preserve">State</t>
  </si>
  <si>
    <t xml:space="preserve">Zip Code</t>
  </si>
  <si>
    <t xml:space="preserve">Specialties / Treatments Offered</t>
  </si>
  <si>
    <t xml:space="preserve">Number of Locations</t>
  </si>
  <si>
    <t xml:space="preserve">1</t>
  </si>
  <si>
    <t xml:space="preserve">  AUDIT LOGISTICS</t>
  </si>
  <si>
    <t xml:space="preserve">Audit Date</t>
  </si>
  <si>
    <t xml:space="preserve">Audited By</t>
  </si>
  <si>
    <t xml:space="preserve">Tools Used</t>
  </si>
  <si>
    <t xml:space="preserve">BrightLocal · Otterly.AI · SEMrush</t>
  </si>
  <si>
    <t xml:space="preserve">Delivery Target</t>
  </si>
  <si>
    <t xml:space="preserve">Within 24 hours of submission</t>
  </si>
  <si>
    <t xml:space="preserve">Notes / Special Context</t>
  </si>
  <si>
    <t xml:space="preserve">Google Business Profile Audit  |  Tool: BrightLocal</t>
  </si>
  <si>
    <t xml:space="preserve">Score each item 0 (missing), 1 (partial), or 2 (complete). Max score = 100. Compare client vs top competitor.</t>
  </si>
  <si>
    <t xml:space="preserve">Category</t>
  </si>
  <si>
    <t xml:space="preserve">Item</t>
  </si>
  <si>
    <t xml:space="preserve">Max Pts</t>
  </si>
  <si>
    <t xml:space="preserve">Client Score</t>
  </si>
  <si>
    <t xml:space="preserve">Competitor Score</t>
  </si>
  <si>
    <t xml:space="preserve">Notes</t>
  </si>
  <si>
    <t xml:space="preserve">Profile Completeness</t>
  </si>
  <si>
    <t xml:space="preserve">Business name accurate &amp; complete</t>
  </si>
  <si>
    <t xml:space="preserve">Primary category correctly set</t>
  </si>
  <si>
    <t xml:space="preserve">Secondary categories (3+)</t>
  </si>
  <si>
    <t xml:space="preserve">Business description written (750 chars)</t>
  </si>
  <si>
    <t xml:space="preserve">Hours complete &amp; accurate</t>
  </si>
  <si>
    <t xml:space="preserve">Phone number listed</t>
  </si>
  <si>
    <t xml:space="preserve">Website URL linked</t>
  </si>
  <si>
    <t xml:space="preserve">Service area / address set</t>
  </si>
  <si>
    <t xml:space="preserve">Services/treatments listed with descriptions</t>
  </si>
  <si>
    <t xml:space="preserve">Products listed (if applicable)</t>
  </si>
  <si>
    <t xml:space="preserve">Photos</t>
  </si>
  <si>
    <t xml:space="preserve">Cover photo (branded, high quality)</t>
  </si>
  <si>
    <t xml:space="preserve">Logo uploaded</t>
  </si>
  <si>
    <t xml:space="preserve">Interior photos (5+)</t>
  </si>
  <si>
    <t xml:space="preserve">Exterior / signage photos (3+)</t>
  </si>
  <si>
    <t xml:space="preserve">Team / staff photos (3+)</t>
  </si>
  <si>
    <t xml:space="preserve">Treatment / procedure photos (10+)</t>
  </si>
  <si>
    <t xml:space="preserve">Before &amp; after photos (where permitted)</t>
  </si>
  <si>
    <t xml:space="preserve">Equipment / facility photos</t>
  </si>
  <si>
    <t xml:space="preserve">Activity</t>
  </si>
  <si>
    <t xml:space="preserve">Google Posts in last 30 days (3+)</t>
  </si>
  <si>
    <t xml:space="preserve">Q&amp;A section populated (5+ questions)</t>
  </si>
  <si>
    <t xml:space="preserve">Review response rate (&gt;80%)</t>
  </si>
  <si>
    <t xml:space="preserve">Reviews mention specific treatments</t>
  </si>
  <si>
    <t xml:space="preserve">No unresolved negative reviews</t>
  </si>
  <si>
    <t xml:space="preserve">TOTAL SCORE</t>
  </si>
  <si>
    <t xml:space="preserve">Score Guide:  0 = Missing   |   1 = Partial / needs improvement   |   2 = Fully optimized</t>
  </si>
  <si>
    <t xml:space="preserve">Review Velocity Analysis  |  Tool: BrightLocal</t>
  </si>
  <si>
    <t xml:space="preserve">Review velocity (new reviews per month) is the #1 Maps ranking factor. Compare client vs. top 3 competitors.</t>
  </si>
  <si>
    <t xml:space="preserve">Practice</t>
  </si>
  <si>
    <t xml:space="preserve">Type</t>
  </si>
  <si>
    <t xml:space="preserve">Total Reviews</t>
  </si>
  <si>
    <t xml:space="preserve">Reviews Last 90 Days</t>
  </si>
  <si>
    <t xml:space="preserve">Reviews / Month</t>
  </si>
  <si>
    <t xml:space="preserve">Avg Rating</t>
  </si>
  <si>
    <t xml:space="preserve">Response Rate %</t>
  </si>
  <si>
    <t xml:space="preserve">CLIENT PRACTICE</t>
  </si>
  <si>
    <t xml:space="preserve">Client</t>
  </si>
  <si>
    <t xml:space="preserve">Competitor 1</t>
  </si>
  <si>
    <t xml:space="preserve">Competitor</t>
  </si>
  <si>
    <t xml:space="preserve">Competitor 2</t>
  </si>
  <si>
    <t xml:space="preserve">Competitor 3</t>
  </si>
  <si>
    <t xml:space="preserve">  VELOCITY GAP ANALYSIS</t>
  </si>
  <si>
    <t xml:space="preserve">Client Reviews/Month</t>
  </si>
  <si>
    <t xml:space="preserve">Best Competitor Reviews/Month</t>
  </si>
  <si>
    <t xml:space="preserve">Monthly Gap (reviews needed to match)</t>
  </si>
  <si>
    <t xml:space="preserve">AI Search Visibility Test  |  Tools: Otterly.AI · Perplexity · ChatGPT · Claude · Google AI</t>
  </si>
  <si>
    <t xml:space="preserve">Record who AI recommends for each query. Enter practice name, "NOT MENTIONED", or "Chain only". Screenshot all results.</t>
  </si>
  <si>
    <t xml:space="preserve">⚠️  Replace [CITY] with the client's actual city in each query before running.</t>
  </si>
  <si>
    <t xml:space="preserve">Search Query</t>
  </si>
  <si>
    <t xml:space="preserve">ChatGPT (GPT-4o)</t>
  </si>
  <si>
    <t xml:space="preserve">Google AI Overview</t>
  </si>
  <si>
    <t xml:space="preserve">Perplexity</t>
  </si>
  <si>
    <t xml:space="preserve">Claude</t>
  </si>
  <si>
    <t xml:space="preserve">Ask Maps / Gemini</t>
  </si>
  <si>
    <t xml:space="preserve">Client Appears?</t>
  </si>
  <si>
    <t xml:space="preserve">best med spa near me [CITY]</t>
  </si>
  <si>
    <t xml:space="preserve">best place to get Botox in [CITY]</t>
  </si>
  <si>
    <t xml:space="preserve">best laser hair removal [CITY]</t>
  </si>
  <si>
    <t xml:space="preserve">best HydraFacial [CITY]</t>
  </si>
  <si>
    <t xml:space="preserve">best body contouring [CITY]</t>
  </si>
  <si>
    <t xml:space="preserve">med spa with best reviews [CITY]</t>
  </si>
  <si>
    <t xml:space="preserve">top rated med spa [CITY]</t>
  </si>
  <si>
    <t xml:space="preserve">affordable Botox [CITY]</t>
  </si>
  <si>
    <t xml:space="preserve">best aesthetician [CITY]</t>
  </si>
  <si>
    <t xml:space="preserve">filler injections [CITY]</t>
  </si>
  <si>
    <t xml:space="preserve">  VISIBILITY SUMMARY</t>
  </si>
  <si>
    <t xml:space="preserve">Queries where client appears</t>
  </si>
  <si>
    <t xml:space="preserve">AI Visibility Score</t>
  </si>
  <si>
    <t xml:space="preserve">Website Keyword Gap Analysis  |  Tool: SEMrush / Ahrefs</t>
  </si>
  <si>
    <t xml:space="preserve">Check each treatment + location combo. Does client have a dedicated page? Record URL if yes. Pull search volume from SEMrush.</t>
  </si>
  <si>
    <t xml:space="preserve">Treatment</t>
  </si>
  <si>
    <t xml:space="preserve">Search Term (example)</t>
  </si>
  <si>
    <t xml:space="preserve">Page Exists?</t>
  </si>
  <si>
    <t xml:space="preserve">Page URL</t>
  </si>
  <si>
    <t xml:space="preserve">Est. Monthly Searches</t>
  </si>
  <si>
    <t xml:space="preserve">Top Competitor Ranking</t>
  </si>
  <si>
    <t xml:space="preserve">Priority</t>
  </si>
  <si>
    <t xml:space="preserve">Botox / Neurotoxin</t>
  </si>
  <si>
    <t xml:space="preserve">botox [city]</t>
  </si>
  <si>
    <t xml:space="preserve">Dysport</t>
  </si>
  <si>
    <t xml:space="preserve">dysport [city]</t>
  </si>
  <si>
    <t xml:space="preserve">Dermal Filler</t>
  </si>
  <si>
    <t xml:space="preserve">lip filler [city]</t>
  </si>
  <si>
    <t xml:space="preserve">Juvederm</t>
  </si>
  <si>
    <t xml:space="preserve">juvederm [city]</t>
  </si>
  <si>
    <t xml:space="preserve">Restylane</t>
  </si>
  <si>
    <t xml:space="preserve">restylane [city]</t>
  </si>
  <si>
    <t xml:space="preserve">HydraFacial</t>
  </si>
  <si>
    <t xml:space="preserve">hydrafacial [city]</t>
  </si>
  <si>
    <t xml:space="preserve">Chemical Peel</t>
  </si>
  <si>
    <t xml:space="preserve">chemical peel [city]</t>
  </si>
  <si>
    <t xml:space="preserve">Microneedling</t>
  </si>
  <si>
    <t xml:space="preserve">microneedling [city]</t>
  </si>
  <si>
    <t xml:space="preserve">Laser Hair Removal</t>
  </si>
  <si>
    <t xml:space="preserve">laser hair removal [city]</t>
  </si>
  <si>
    <t xml:space="preserve">IPL / Photofacial</t>
  </si>
  <si>
    <t xml:space="preserve">ipl treatment [city]</t>
  </si>
  <si>
    <t xml:space="preserve">Body Contouring</t>
  </si>
  <si>
    <t xml:space="preserve">body contouring [city]</t>
  </si>
  <si>
    <t xml:space="preserve">CoolSculpting / Cryolipolysis</t>
  </si>
  <si>
    <t xml:space="preserve">coolsculpting [city]</t>
  </si>
  <si>
    <t xml:space="preserve">RF Skin Tightening</t>
  </si>
  <si>
    <t xml:space="preserve">skin tightening [city]</t>
  </si>
  <si>
    <t xml:space="preserve">PRP / PRF</t>
  </si>
  <si>
    <t xml:space="preserve">prp facial [city]</t>
  </si>
  <si>
    <t xml:space="preserve">IV Therapy</t>
  </si>
  <si>
    <t xml:space="preserve">iv therapy [city]</t>
  </si>
  <si>
    <t xml:space="preserve">Weight Loss / Semaglutide</t>
  </si>
  <si>
    <t xml:space="preserve">semaglutide [city]</t>
  </si>
  <si>
    <t xml:space="preserve">Med Spa (general)</t>
  </si>
  <si>
    <t xml:space="preserve">med spa near me [city]</t>
  </si>
  <si>
    <t xml:space="preserve">best med spa [city]</t>
  </si>
  <si>
    <t xml:space="preserve">  GAP SUMMARY</t>
  </si>
  <si>
    <t xml:space="preserve">Pages existing</t>
  </si>
  <si>
    <t xml:space="preserve">Missing pages (opportunities)</t>
  </si>
  <si>
    <t xml:space="preserve">Competitor Comparison Matrix</t>
  </si>
  <si>
    <t xml:space="preserve">Pull GBP scores from Tab 2, review data from Tab 3, AI score from Tab 4. Fill remaining cells manually.</t>
  </si>
  <si>
    <t xml:space="preserve">GBP Score /100</t>
  </si>
  <si>
    <t xml:space="preserve">Reviews / Mo</t>
  </si>
  <si>
    <t xml:space="preserve">Google Maps Rank</t>
  </si>
  <si>
    <t xml:space="preserve">Website Pages</t>
  </si>
  <si>
    <t xml:space="preserve">Overall Tier</t>
  </si>
  <si>
    <t xml:space="preserve">Personalized Action Plan — First Choice Med Spas</t>
  </si>
  <si>
    <t xml:space="preserve">Prioritize actions by patient impact. Quick wins first. Customize each row to the specific client findings.</t>
  </si>
  <si>
    <t xml:space="preserve">Action Item</t>
  </si>
  <si>
    <t xml:space="preserve">Patient Impact</t>
  </si>
  <si>
    <t xml:space="preserve">Effort</t>
  </si>
  <si>
    <t xml:space="preserve">Timeline</t>
  </si>
  <si>
    <t xml:space="preserve">Tool / Owner</t>
  </si>
  <si>
    <t xml:space="preserve">Status</t>
  </si>
  <si>
    <t xml:space="preserve">Set primary + all secondary GBP categories correctly</t>
  </si>
  <si>
    <t xml:space="preserve">GBP</t>
  </si>
  <si>
    <t xml:space="preserve">High</t>
  </si>
  <si>
    <t xml:space="preserve">Low</t>
  </si>
  <si>
    <t xml:space="preserve">Day 1</t>
  </si>
  <si>
    <t xml:space="preserve">BrightLocal / GBP Dashboard</t>
  </si>
  <si>
    <t xml:space="preserve">Open</t>
  </si>
  <si>
    <t xml:space="preserve">Write full GBP business description (750 chars)</t>
  </si>
  <si>
    <t xml:space="preserve">Manual</t>
  </si>
  <si>
    <t xml:space="preserve">Upload 10+ treatment/before-after photos to GBP</t>
  </si>
  <si>
    <t xml:space="preserve">Week 1</t>
  </si>
  <si>
    <t xml:space="preserve">Manual / GBP Dashboard</t>
  </si>
  <si>
    <t xml:space="preserve">Set up automated review request SMS after each appointment</t>
  </si>
  <si>
    <t xml:space="preserve">Reviews</t>
  </si>
  <si>
    <t xml:space="preserve">Med</t>
  </si>
  <si>
    <t xml:space="preserve">Our Platform</t>
  </si>
  <si>
    <t xml:space="preserve">Respond to all unresponded reviews (Google)</t>
  </si>
  <si>
    <t xml:space="preserve">Day 1-2</t>
  </si>
  <si>
    <t xml:space="preserve">Publish 3 GBP posts per week (treatments, promos, tips)</t>
  </si>
  <si>
    <t xml:space="preserve">Ongoing</t>
  </si>
  <si>
    <t xml:space="preserve">Build dedicated page: Botox [City]</t>
  </si>
  <si>
    <t xml:space="preserve">Website</t>
  </si>
  <si>
    <t xml:space="preserve">Week 2</t>
  </si>
  <si>
    <t xml:space="preserve">Web Team</t>
  </si>
  <si>
    <t xml:space="preserve">Build dedicated page: Laser Hair Removal [City]</t>
  </si>
  <si>
    <t xml:space="preserve">Build dedicated page: HydraFacial [City]</t>
  </si>
  <si>
    <t xml:space="preserve">Add LocalBusiness + MedicalClinic schema markup to site</t>
  </si>
  <si>
    <t xml:space="preserve">Web Team / Dev</t>
  </si>
  <si>
    <t xml:space="preserve">Create AI-citation content: 'Best Med Spa in [City]' page</t>
  </si>
  <si>
    <t xml:space="preserve">AI Visibility</t>
  </si>
  <si>
    <t xml:space="preserve">Week 3</t>
  </si>
  <si>
    <t xml:space="preserve">Content / Web</t>
  </si>
  <si>
    <t xml:space="preserve">Add FAQ structured data to top 5 service pages</t>
  </si>
  <si>
    <t xml:space="preserve">Build 5 Q&amp;As on GBP covering top patient questions</t>
  </si>
  <si>
    <t xml:space="preserve">Claim &amp; update Yelp, Healthgrades, RealSelf profiles</t>
  </si>
  <si>
    <t xml:space="preserve">Citations</t>
  </si>
  <si>
    <t xml:space="preserve">BrightLocal</t>
  </si>
  <si>
    <t xml:space="preserve">Monitor AI search visibility monthly (Otterly.AI)</t>
  </si>
  <si>
    <t xml:space="preserve">Otterly.AI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</si>
</sst>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B1F3A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1A6EFF"/>
      <name val="Arial"/>
      <family val="0"/>
      <charset val="1"/>
    </font>
    <font>
      <b val="true"/>
      <sz val="9"/>
      <color rgb="FFF0724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0B1F3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F4F6F9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1A6EFF"/>
        <bgColor rgb="FF0066CC"/>
      </patternFill>
    </fill>
    <fill>
      <patternFill patternType="solid">
        <fgColor rgb="FFFFFFFF"/>
        <bgColor rgb="FFF4F6F9"/>
      </patternFill>
    </fill>
    <fill>
      <patternFill patternType="solid">
        <fgColor rgb="FF5BBEFF"/>
        <bgColor rgb="FF99CCFF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F4F6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0B1F3A"/>
      </left>
      <right/>
      <top style="thin">
        <color rgb="FF0B1F3A"/>
      </top>
      <bottom style="thin">
        <color rgb="FF0B1F3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0B1F3A"/>
      </left>
      <right style="thin">
        <color rgb="FF0B1F3A"/>
      </right>
      <top style="thin">
        <color rgb="FF0B1F3A"/>
      </top>
      <bottom style="thin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F5E9"/>
      <rgbColor rgb="FF660066"/>
      <rgbColor rgb="FFF0724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3E0"/>
      <rgbColor rgb="FF99CCFF"/>
      <rgbColor rgb="FFFF99CC"/>
      <rgbColor rgb="FFCC99FF"/>
      <rgbColor rgb="FFFFCC99"/>
      <rgbColor rgb="FF1A6EFF"/>
      <rgbColor rgb="FF5BBEFF"/>
      <rgbColor rgb="FF99CC00"/>
      <rgbColor rgb="FFFFCC00"/>
      <rgbColor rgb="FFFF9900"/>
      <rgbColor rgb="FFFF6600"/>
      <rgbColor rgb="FF666666"/>
      <rgbColor rgb="FF969696"/>
      <rgbColor rgb="FF0B1F3A"/>
      <rgbColor rgb="FF339966"/>
      <rgbColor rgb="FF003300"/>
      <rgbColor rgb="FF333300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7" min="3" style="0" width="1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8" hidden="false" customHeight="true" outlineLevel="0" collapsed="false">
      <c r="A5" s="4" t="s">
        <v>3</v>
      </c>
      <c r="B5" s="5"/>
      <c r="C5" s="5"/>
      <c r="D5" s="5"/>
      <c r="E5" s="5"/>
      <c r="F5" s="5"/>
      <c r="G5" s="5"/>
    </row>
    <row r="6" customFormat="false" ht="18" hidden="false" customHeight="true" outlineLevel="0" collapsed="false">
      <c r="A6" s="4" t="s">
        <v>4</v>
      </c>
      <c r="B6" s="5"/>
      <c r="C6" s="5"/>
      <c r="D6" s="5"/>
      <c r="E6" s="5"/>
      <c r="F6" s="5"/>
      <c r="G6" s="5"/>
    </row>
    <row r="7" customFormat="false" ht="18" hidden="false" customHeight="true" outlineLevel="0" collapsed="false">
      <c r="A7" s="4" t="s">
        <v>5</v>
      </c>
      <c r="B7" s="5"/>
      <c r="C7" s="5"/>
      <c r="D7" s="5"/>
      <c r="E7" s="5"/>
      <c r="F7" s="5"/>
      <c r="G7" s="5"/>
    </row>
    <row r="8" customFormat="false" ht="18" hidden="false" customHeight="true" outlineLevel="0" collapsed="false">
      <c r="A8" s="4" t="s">
        <v>6</v>
      </c>
      <c r="B8" s="5"/>
      <c r="C8" s="5"/>
      <c r="D8" s="5"/>
      <c r="E8" s="5"/>
      <c r="F8" s="5"/>
      <c r="G8" s="5"/>
    </row>
    <row r="9" customFormat="false" ht="18" hidden="false" customHeight="true" outlineLevel="0" collapsed="false">
      <c r="A9" s="4" t="s">
        <v>7</v>
      </c>
      <c r="B9" s="5"/>
      <c r="C9" s="5"/>
      <c r="D9" s="5"/>
      <c r="E9" s="5"/>
      <c r="F9" s="5"/>
      <c r="G9" s="5"/>
    </row>
    <row r="10" customFormat="false" ht="18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</row>
    <row r="11" customFormat="false" ht="18" hidden="false" customHeight="true" outlineLevel="0" collapsed="false">
      <c r="A11" s="4" t="s">
        <v>9</v>
      </c>
      <c r="B11" s="5"/>
      <c r="C11" s="5"/>
      <c r="D11" s="5"/>
      <c r="E11" s="5"/>
      <c r="F11" s="5"/>
      <c r="G11" s="5"/>
    </row>
    <row r="12" customFormat="false" ht="18" hidden="false" customHeight="true" outlineLevel="0" collapsed="false">
      <c r="A12" s="4" t="s">
        <v>10</v>
      </c>
      <c r="B12" s="5"/>
      <c r="C12" s="5"/>
      <c r="D12" s="5"/>
      <c r="E12" s="5"/>
      <c r="F12" s="5"/>
      <c r="G12" s="5"/>
    </row>
    <row r="13" customFormat="false" ht="18" hidden="false" customHeight="true" outlineLevel="0" collapsed="false">
      <c r="A13" s="4" t="s">
        <v>11</v>
      </c>
      <c r="B13" s="5"/>
      <c r="C13" s="5"/>
      <c r="D13" s="5"/>
      <c r="E13" s="5"/>
      <c r="F13" s="5"/>
      <c r="G13" s="5"/>
    </row>
    <row r="14" customFormat="false" ht="18" hidden="false" customHeight="true" outlineLevel="0" collapsed="false">
      <c r="A14" s="4" t="s">
        <v>12</v>
      </c>
      <c r="B14" s="5"/>
      <c r="C14" s="5"/>
      <c r="D14" s="5"/>
      <c r="E14" s="5"/>
      <c r="F14" s="5"/>
      <c r="G14" s="5"/>
    </row>
    <row r="15" customFormat="false" ht="18" hidden="false" customHeight="true" outlineLevel="0" collapsed="false">
      <c r="A15" s="4" t="s">
        <v>13</v>
      </c>
      <c r="B15" s="5"/>
      <c r="C15" s="5"/>
      <c r="D15" s="5"/>
      <c r="E15" s="5"/>
      <c r="F15" s="5"/>
      <c r="G15" s="5"/>
    </row>
    <row r="16" customFormat="false" ht="18" hidden="false" customHeight="true" outlineLevel="0" collapsed="false">
      <c r="A16" s="4" t="s">
        <v>14</v>
      </c>
      <c r="B16" s="5" t="s">
        <v>15</v>
      </c>
      <c r="C16" s="5"/>
      <c r="D16" s="5"/>
      <c r="E16" s="5"/>
      <c r="F16" s="5"/>
      <c r="G16" s="5"/>
    </row>
    <row r="18" customFormat="false" ht="19.5" hidden="false" customHeight="true" outlineLevel="0" collapsed="false">
      <c r="A18" s="6" t="s">
        <v>16</v>
      </c>
      <c r="B18" s="6"/>
      <c r="C18" s="6"/>
      <c r="D18" s="6"/>
      <c r="E18" s="6"/>
      <c r="F18" s="6"/>
      <c r="G18" s="6"/>
    </row>
    <row r="19" customFormat="false" ht="18" hidden="false" customHeight="true" outlineLevel="0" collapsed="false">
      <c r="A19" s="4" t="s">
        <v>17</v>
      </c>
      <c r="B19" s="5"/>
      <c r="C19" s="5"/>
      <c r="D19" s="5"/>
      <c r="E19" s="5"/>
      <c r="F19" s="5"/>
      <c r="G19" s="5"/>
    </row>
    <row r="20" customFormat="false" ht="18" hidden="false" customHeight="true" outlineLevel="0" collapsed="false">
      <c r="A20" s="4" t="s">
        <v>18</v>
      </c>
      <c r="B20" s="5"/>
      <c r="C20" s="5"/>
      <c r="D20" s="5"/>
      <c r="E20" s="5"/>
      <c r="F20" s="5"/>
      <c r="G20" s="5"/>
    </row>
    <row r="21" customFormat="false" ht="18" hidden="false" customHeight="true" outlineLevel="0" collapsed="false">
      <c r="A21" s="4" t="s">
        <v>19</v>
      </c>
      <c r="B21" s="5" t="s">
        <v>20</v>
      </c>
      <c r="C21" s="5"/>
      <c r="D21" s="5"/>
      <c r="E21" s="5"/>
      <c r="F21" s="5"/>
      <c r="G21" s="5"/>
    </row>
    <row r="22" customFormat="false" ht="18" hidden="false" customHeight="true" outlineLevel="0" collapsed="false">
      <c r="A22" s="4" t="s">
        <v>21</v>
      </c>
      <c r="B22" s="5" t="s">
        <v>22</v>
      </c>
      <c r="C22" s="5"/>
      <c r="D22" s="5"/>
      <c r="E22" s="5"/>
      <c r="F22" s="5"/>
      <c r="G22" s="5"/>
    </row>
    <row r="23" customFormat="false" ht="18" hidden="false" customHeight="true" outlineLevel="0" collapsed="false">
      <c r="A23" s="4" t="s">
        <v>23</v>
      </c>
      <c r="B23" s="5"/>
      <c r="C23" s="5"/>
      <c r="D23" s="5"/>
      <c r="E23" s="5"/>
      <c r="F23" s="5"/>
      <c r="G23" s="5"/>
    </row>
  </sheetData>
  <mergeCells count="21">
    <mergeCell ref="A1:G1"/>
    <mergeCell ref="A2:G2"/>
    <mergeCell ref="A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A18:G18"/>
    <mergeCell ref="B19:G19"/>
    <mergeCell ref="B20:G20"/>
    <mergeCell ref="B21:G21"/>
    <mergeCell ref="B22:G22"/>
    <mergeCell ref="B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30" hidden="false" customHeight="true" outlineLevel="0" collapsed="false">
      <c r="A1" s="7" t="s">
        <v>24</v>
      </c>
      <c r="B1" s="7"/>
      <c r="C1" s="7"/>
      <c r="D1" s="7"/>
      <c r="E1" s="7"/>
      <c r="F1" s="7"/>
    </row>
    <row r="2" customFormat="false" ht="15" hidden="false" customHeight="true" outlineLevel="0" collapsed="false">
      <c r="A2" s="8" t="s">
        <v>25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</row>
    <row r="5" customFormat="false" ht="16.5" hidden="false" customHeight="true" outlineLevel="0" collapsed="false">
      <c r="A5" s="10" t="s">
        <v>32</v>
      </c>
      <c r="B5" s="11" t="s">
        <v>33</v>
      </c>
      <c r="C5" s="10" t="n">
        <v>5</v>
      </c>
      <c r="D5" s="12" t="n">
        <v>0</v>
      </c>
      <c r="E5" s="12" t="n">
        <v>0</v>
      </c>
      <c r="F5" s="13"/>
    </row>
    <row r="6" customFormat="false" ht="16.5" hidden="false" customHeight="true" outlineLevel="0" collapsed="false">
      <c r="A6" s="10" t="s">
        <v>32</v>
      </c>
      <c r="B6" s="11" t="s">
        <v>34</v>
      </c>
      <c r="C6" s="10" t="n">
        <v>5</v>
      </c>
      <c r="D6" s="12" t="n">
        <v>0</v>
      </c>
      <c r="E6" s="12" t="n">
        <v>0</v>
      </c>
      <c r="F6" s="13"/>
    </row>
    <row r="7" customFormat="false" ht="16.5" hidden="false" customHeight="true" outlineLevel="0" collapsed="false">
      <c r="A7" s="10" t="s">
        <v>32</v>
      </c>
      <c r="B7" s="11" t="s">
        <v>35</v>
      </c>
      <c r="C7" s="10" t="n">
        <v>5</v>
      </c>
      <c r="D7" s="12" t="n">
        <v>0</v>
      </c>
      <c r="E7" s="12" t="n">
        <v>0</v>
      </c>
      <c r="F7" s="13"/>
    </row>
    <row r="8" customFormat="false" ht="16.5" hidden="false" customHeight="true" outlineLevel="0" collapsed="false">
      <c r="A8" s="10" t="s">
        <v>32</v>
      </c>
      <c r="B8" s="11" t="s">
        <v>36</v>
      </c>
      <c r="C8" s="10" t="n">
        <v>5</v>
      </c>
      <c r="D8" s="12" t="n">
        <v>0</v>
      </c>
      <c r="E8" s="12" t="n">
        <v>0</v>
      </c>
      <c r="F8" s="13"/>
    </row>
    <row r="9" customFormat="false" ht="16.5" hidden="false" customHeight="true" outlineLevel="0" collapsed="false">
      <c r="A9" s="10" t="s">
        <v>32</v>
      </c>
      <c r="B9" s="11" t="s">
        <v>37</v>
      </c>
      <c r="C9" s="10" t="n">
        <v>3</v>
      </c>
      <c r="D9" s="12" t="n">
        <v>0</v>
      </c>
      <c r="E9" s="12" t="n">
        <v>0</v>
      </c>
      <c r="F9" s="13"/>
    </row>
    <row r="10" customFormat="false" ht="16.5" hidden="false" customHeight="true" outlineLevel="0" collapsed="false">
      <c r="A10" s="10" t="s">
        <v>32</v>
      </c>
      <c r="B10" s="11" t="s">
        <v>38</v>
      </c>
      <c r="C10" s="10" t="n">
        <v>3</v>
      </c>
      <c r="D10" s="12" t="n">
        <v>0</v>
      </c>
      <c r="E10" s="12" t="n">
        <v>0</v>
      </c>
      <c r="F10" s="13"/>
    </row>
    <row r="11" customFormat="false" ht="16.5" hidden="false" customHeight="true" outlineLevel="0" collapsed="false">
      <c r="A11" s="10" t="s">
        <v>32</v>
      </c>
      <c r="B11" s="11" t="s">
        <v>39</v>
      </c>
      <c r="C11" s="10" t="n">
        <v>3</v>
      </c>
      <c r="D11" s="12" t="n">
        <v>0</v>
      </c>
      <c r="E11" s="12" t="n">
        <v>0</v>
      </c>
      <c r="F11" s="13"/>
    </row>
    <row r="12" customFormat="false" ht="16.5" hidden="false" customHeight="true" outlineLevel="0" collapsed="false">
      <c r="A12" s="10" t="s">
        <v>32</v>
      </c>
      <c r="B12" s="11" t="s">
        <v>40</v>
      </c>
      <c r="C12" s="10" t="n">
        <v>3</v>
      </c>
      <c r="D12" s="12" t="n">
        <v>0</v>
      </c>
      <c r="E12" s="12" t="n">
        <v>0</v>
      </c>
      <c r="F12" s="13"/>
    </row>
    <row r="13" customFormat="false" ht="16.5" hidden="false" customHeight="true" outlineLevel="0" collapsed="false">
      <c r="A13" s="10" t="s">
        <v>32</v>
      </c>
      <c r="B13" s="11" t="s">
        <v>41</v>
      </c>
      <c r="C13" s="10" t="n">
        <v>5</v>
      </c>
      <c r="D13" s="12" t="n">
        <v>0</v>
      </c>
      <c r="E13" s="12" t="n">
        <v>0</v>
      </c>
      <c r="F13" s="13"/>
    </row>
    <row r="14" customFormat="false" ht="16.5" hidden="false" customHeight="true" outlineLevel="0" collapsed="false">
      <c r="A14" s="10" t="s">
        <v>32</v>
      </c>
      <c r="B14" s="11" t="s">
        <v>42</v>
      </c>
      <c r="C14" s="10" t="n">
        <v>3</v>
      </c>
      <c r="D14" s="12" t="n">
        <v>0</v>
      </c>
      <c r="E14" s="12" t="n">
        <v>0</v>
      </c>
      <c r="F14" s="13"/>
    </row>
    <row r="15" customFormat="false" ht="16.5" hidden="false" customHeight="true" outlineLevel="0" collapsed="false">
      <c r="A15" s="10" t="s">
        <v>43</v>
      </c>
      <c r="B15" s="11" t="s">
        <v>44</v>
      </c>
      <c r="C15" s="10" t="n">
        <v>3</v>
      </c>
      <c r="D15" s="12" t="n">
        <v>0</v>
      </c>
      <c r="E15" s="12" t="n">
        <v>0</v>
      </c>
      <c r="F15" s="13"/>
    </row>
    <row r="16" customFormat="false" ht="16.5" hidden="false" customHeight="true" outlineLevel="0" collapsed="false">
      <c r="A16" s="10" t="s">
        <v>43</v>
      </c>
      <c r="B16" s="11" t="s">
        <v>45</v>
      </c>
      <c r="C16" s="10" t="n">
        <v>3</v>
      </c>
      <c r="D16" s="12" t="n">
        <v>0</v>
      </c>
      <c r="E16" s="12" t="n">
        <v>0</v>
      </c>
      <c r="F16" s="13"/>
    </row>
    <row r="17" customFormat="false" ht="16.5" hidden="false" customHeight="true" outlineLevel="0" collapsed="false">
      <c r="A17" s="10" t="s">
        <v>43</v>
      </c>
      <c r="B17" s="11" t="s">
        <v>46</v>
      </c>
      <c r="C17" s="10" t="n">
        <v>5</v>
      </c>
      <c r="D17" s="12" t="n">
        <v>0</v>
      </c>
      <c r="E17" s="12" t="n">
        <v>0</v>
      </c>
      <c r="F17" s="13"/>
    </row>
    <row r="18" customFormat="false" ht="16.5" hidden="false" customHeight="true" outlineLevel="0" collapsed="false">
      <c r="A18" s="10" t="s">
        <v>43</v>
      </c>
      <c r="B18" s="11" t="s">
        <v>47</v>
      </c>
      <c r="C18" s="10" t="n">
        <v>3</v>
      </c>
      <c r="D18" s="12" t="n">
        <v>0</v>
      </c>
      <c r="E18" s="12" t="n">
        <v>0</v>
      </c>
      <c r="F18" s="13"/>
    </row>
    <row r="19" customFormat="false" ht="16.5" hidden="false" customHeight="true" outlineLevel="0" collapsed="false">
      <c r="A19" s="10" t="s">
        <v>43</v>
      </c>
      <c r="B19" s="11" t="s">
        <v>48</v>
      </c>
      <c r="C19" s="10" t="n">
        <v>3</v>
      </c>
      <c r="D19" s="12" t="n">
        <v>0</v>
      </c>
      <c r="E19" s="12" t="n">
        <v>0</v>
      </c>
      <c r="F19" s="13"/>
    </row>
    <row r="20" customFormat="false" ht="16.5" hidden="false" customHeight="true" outlineLevel="0" collapsed="false">
      <c r="A20" s="10" t="s">
        <v>43</v>
      </c>
      <c r="B20" s="11" t="s">
        <v>49</v>
      </c>
      <c r="C20" s="10" t="n">
        <v>5</v>
      </c>
      <c r="D20" s="12" t="n">
        <v>0</v>
      </c>
      <c r="E20" s="12" t="n">
        <v>0</v>
      </c>
      <c r="F20" s="13"/>
    </row>
    <row r="21" customFormat="false" ht="16.5" hidden="false" customHeight="true" outlineLevel="0" collapsed="false">
      <c r="A21" s="10" t="s">
        <v>43</v>
      </c>
      <c r="B21" s="11" t="s">
        <v>50</v>
      </c>
      <c r="C21" s="10" t="n">
        <v>5</v>
      </c>
      <c r="D21" s="12" t="n">
        <v>0</v>
      </c>
      <c r="E21" s="12" t="n">
        <v>0</v>
      </c>
      <c r="F21" s="13"/>
    </row>
    <row r="22" customFormat="false" ht="16.5" hidden="false" customHeight="true" outlineLevel="0" collapsed="false">
      <c r="A22" s="10" t="s">
        <v>43</v>
      </c>
      <c r="B22" s="11" t="s">
        <v>51</v>
      </c>
      <c r="C22" s="10" t="n">
        <v>3</v>
      </c>
      <c r="D22" s="12" t="n">
        <v>0</v>
      </c>
      <c r="E22" s="12" t="n">
        <v>0</v>
      </c>
      <c r="F22" s="13"/>
    </row>
    <row r="23" customFormat="false" ht="16.5" hidden="false" customHeight="true" outlineLevel="0" collapsed="false">
      <c r="A23" s="10" t="s">
        <v>52</v>
      </c>
      <c r="B23" s="11" t="s">
        <v>53</v>
      </c>
      <c r="C23" s="10" t="n">
        <v>5</v>
      </c>
      <c r="D23" s="12" t="n">
        <v>0</v>
      </c>
      <c r="E23" s="12" t="n">
        <v>0</v>
      </c>
      <c r="F23" s="13"/>
    </row>
    <row r="24" customFormat="false" ht="16.5" hidden="false" customHeight="true" outlineLevel="0" collapsed="false">
      <c r="A24" s="10" t="s">
        <v>52</v>
      </c>
      <c r="B24" s="11" t="s">
        <v>54</v>
      </c>
      <c r="C24" s="10" t="n">
        <v>5</v>
      </c>
      <c r="D24" s="12" t="n">
        <v>0</v>
      </c>
      <c r="E24" s="12" t="n">
        <v>0</v>
      </c>
      <c r="F24" s="13"/>
    </row>
    <row r="25" customFormat="false" ht="16.5" hidden="false" customHeight="true" outlineLevel="0" collapsed="false">
      <c r="A25" s="10" t="s">
        <v>52</v>
      </c>
      <c r="B25" s="11" t="s">
        <v>55</v>
      </c>
      <c r="C25" s="10" t="n">
        <v>5</v>
      </c>
      <c r="D25" s="12" t="n">
        <v>0</v>
      </c>
      <c r="E25" s="12" t="n">
        <v>0</v>
      </c>
      <c r="F25" s="13"/>
    </row>
    <row r="26" customFormat="false" ht="16.5" hidden="false" customHeight="true" outlineLevel="0" collapsed="false">
      <c r="A26" s="10" t="s">
        <v>52</v>
      </c>
      <c r="B26" s="11" t="s">
        <v>56</v>
      </c>
      <c r="C26" s="10" t="n">
        <v>5</v>
      </c>
      <c r="D26" s="12" t="n">
        <v>0</v>
      </c>
      <c r="E26" s="12" t="n">
        <v>0</v>
      </c>
      <c r="F26" s="13"/>
    </row>
    <row r="27" customFormat="false" ht="16.5" hidden="false" customHeight="true" outlineLevel="0" collapsed="false">
      <c r="A27" s="10" t="s">
        <v>52</v>
      </c>
      <c r="B27" s="11" t="s">
        <v>57</v>
      </c>
      <c r="C27" s="10" t="n">
        <v>5</v>
      </c>
      <c r="D27" s="12" t="n">
        <v>0</v>
      </c>
      <c r="E27" s="12" t="n">
        <v>0</v>
      </c>
      <c r="F27" s="13"/>
    </row>
    <row r="28" customFormat="false" ht="21.75" hidden="false" customHeight="true" outlineLevel="0" collapsed="false">
      <c r="A28" s="14" t="s">
        <v>58</v>
      </c>
      <c r="B28" s="14"/>
      <c r="C28" s="15" t="n">
        <f aca="false">SUM(C5:C27)</f>
        <v>95</v>
      </c>
      <c r="D28" s="16" t="n">
        <f aca="false">SUM(D5:D27)</f>
        <v>0</v>
      </c>
      <c r="E28" s="16" t="n">
        <f aca="false">SUM(E5:E27)</f>
        <v>0</v>
      </c>
    </row>
    <row r="30" customFormat="false" ht="15" hidden="false" customHeight="true" outlineLevel="0" collapsed="false">
      <c r="A30" s="17" t="s">
        <v>59</v>
      </c>
      <c r="B30" s="17"/>
      <c r="C30" s="17"/>
      <c r="D30" s="17"/>
      <c r="E30" s="17"/>
      <c r="F30" s="17"/>
    </row>
  </sheetData>
  <mergeCells count="4">
    <mergeCell ref="A1:F1"/>
    <mergeCell ref="A2:F2"/>
    <mergeCell ref="A28:B28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28"/>
  </cols>
  <sheetData>
    <row r="1" customFormat="false" ht="30" hidden="false" customHeight="true" outlineLevel="0" collapsed="false">
      <c r="A1" s="7" t="s">
        <v>60</v>
      </c>
      <c r="B1" s="7"/>
      <c r="C1" s="7"/>
      <c r="D1" s="7"/>
      <c r="E1" s="7"/>
      <c r="F1" s="7"/>
      <c r="G1" s="7"/>
      <c r="H1" s="7"/>
    </row>
    <row r="2" customFormat="false" ht="15" hidden="false" customHeight="true" outlineLevel="0" collapsed="false">
      <c r="A2" s="8" t="s">
        <v>61</v>
      </c>
      <c r="B2" s="8"/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A4" s="9" t="s">
        <v>62</v>
      </c>
      <c r="B4" s="9" t="s">
        <v>63</v>
      </c>
      <c r="C4" s="9" t="s">
        <v>64</v>
      </c>
      <c r="D4" s="9" t="s">
        <v>65</v>
      </c>
      <c r="E4" s="9" t="s">
        <v>66</v>
      </c>
      <c r="F4" s="9" t="s">
        <v>67</v>
      </c>
      <c r="G4" s="9" t="s">
        <v>68</v>
      </c>
      <c r="H4" s="9" t="s">
        <v>31</v>
      </c>
    </row>
    <row r="5" customFormat="false" ht="18" hidden="false" customHeight="true" outlineLevel="0" collapsed="false">
      <c r="A5" s="18" t="s">
        <v>69</v>
      </c>
      <c r="B5" s="19" t="s">
        <v>70</v>
      </c>
      <c r="C5" s="20"/>
      <c r="D5" s="20"/>
      <c r="E5" s="21" t="n">
        <f aca="false">D5/3</f>
        <v>0</v>
      </c>
      <c r="F5" s="20"/>
      <c r="G5" s="20"/>
      <c r="H5" s="13"/>
    </row>
    <row r="6" customFormat="false" ht="18" hidden="false" customHeight="true" outlineLevel="0" collapsed="false">
      <c r="A6" s="11" t="s">
        <v>71</v>
      </c>
      <c r="B6" s="19" t="s">
        <v>72</v>
      </c>
      <c r="C6" s="20"/>
      <c r="D6" s="20"/>
      <c r="E6" s="21" t="n">
        <f aca="false">D6/3</f>
        <v>0</v>
      </c>
      <c r="F6" s="20"/>
      <c r="G6" s="20"/>
      <c r="H6" s="13"/>
    </row>
    <row r="7" customFormat="false" ht="18" hidden="false" customHeight="true" outlineLevel="0" collapsed="false">
      <c r="A7" s="11" t="s">
        <v>73</v>
      </c>
      <c r="B7" s="19" t="s">
        <v>72</v>
      </c>
      <c r="C7" s="20"/>
      <c r="D7" s="20"/>
      <c r="E7" s="21" t="n">
        <f aca="false">D7/3</f>
        <v>0</v>
      </c>
      <c r="F7" s="20"/>
      <c r="G7" s="20"/>
      <c r="H7" s="13"/>
    </row>
    <row r="8" customFormat="false" ht="18" hidden="false" customHeight="true" outlineLevel="0" collapsed="false">
      <c r="A8" s="11" t="s">
        <v>74</v>
      </c>
      <c r="B8" s="19" t="s">
        <v>72</v>
      </c>
      <c r="C8" s="20"/>
      <c r="D8" s="20"/>
      <c r="E8" s="21" t="n">
        <f aca="false">D8/3</f>
        <v>0</v>
      </c>
      <c r="F8" s="20"/>
      <c r="G8" s="20"/>
      <c r="H8" s="13"/>
    </row>
    <row r="10" customFormat="false" ht="19.5" hidden="false" customHeight="true" outlineLevel="0" collapsed="false">
      <c r="A10" s="6" t="s">
        <v>75</v>
      </c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22" t="s">
        <v>76</v>
      </c>
      <c r="B11" s="22"/>
      <c r="C11" s="21" t="n">
        <f aca="false">E5</f>
        <v>0</v>
      </c>
    </row>
    <row r="12" customFormat="false" ht="15" hidden="false" customHeight="false" outlineLevel="0" collapsed="false">
      <c r="A12" s="22" t="s">
        <v>77</v>
      </c>
      <c r="B12" s="22"/>
      <c r="C12" s="21" t="n">
        <f aca="false">MAX(E6:E8)</f>
        <v>0</v>
      </c>
    </row>
    <row r="13" customFormat="false" ht="15" hidden="false" customHeight="false" outlineLevel="0" collapsed="false">
      <c r="A13" s="23" t="s">
        <v>78</v>
      </c>
      <c r="B13" s="23"/>
      <c r="C13" s="24" t="n">
        <f aca="false">MAX(E6:E8)-E5</f>
        <v>0</v>
      </c>
    </row>
  </sheetData>
  <mergeCells count="6">
    <mergeCell ref="A1:H1"/>
    <mergeCell ref="A2:H2"/>
    <mergeCell ref="A10:H10"/>
    <mergeCell ref="A11:B11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7" t="s">
        <v>79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A2" s="8" t="s">
        <v>80</v>
      </c>
      <c r="B2" s="8"/>
      <c r="C2" s="8"/>
      <c r="D2" s="8"/>
      <c r="E2" s="8"/>
      <c r="F2" s="8"/>
      <c r="G2" s="8"/>
    </row>
    <row r="3" customFormat="false" ht="15" hidden="false" customHeight="true" outlineLevel="0" collapsed="false">
      <c r="A3" s="25" t="s">
        <v>81</v>
      </c>
      <c r="B3" s="25"/>
      <c r="C3" s="25"/>
      <c r="D3" s="25"/>
      <c r="E3" s="25"/>
      <c r="F3" s="25"/>
      <c r="G3" s="25"/>
    </row>
    <row r="5" customFormat="false" ht="15" hidden="false" customHeight="false" outlineLevel="0" collapsed="false">
      <c r="A5" s="9" t="s">
        <v>82</v>
      </c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</row>
    <row r="6" customFormat="false" ht="18" hidden="false" customHeight="true" outlineLevel="0" collapsed="false">
      <c r="A6" s="4" t="s">
        <v>89</v>
      </c>
      <c r="B6" s="20"/>
      <c r="C6" s="20"/>
      <c r="D6" s="20"/>
      <c r="E6" s="20"/>
      <c r="F6" s="20"/>
      <c r="G6" s="26" t="str">
        <f aca="false">IF(SUMPRODUCT((B6:F6&lt;&gt;"")*(_xlfn.CONCAT(B6:F6)&lt;&gt;"NOT MENTIONED"))&gt;0,"✓ YES","✗ NO")</f>
        <v>✗ NO</v>
      </c>
    </row>
    <row r="7" customFormat="false" ht="18" hidden="false" customHeight="true" outlineLevel="0" collapsed="false">
      <c r="A7" s="4" t="s">
        <v>90</v>
      </c>
      <c r="B7" s="20"/>
      <c r="C7" s="20"/>
      <c r="D7" s="20"/>
      <c r="E7" s="20"/>
      <c r="F7" s="20"/>
      <c r="G7" s="26" t="str">
        <f aca="false">IF(SUMPRODUCT((B7:F7&lt;&gt;"")*(_xlfn.CONCAT(B7:F7)&lt;&gt;"NOT MENTIONED"))&gt;0,"✓ YES","✗ NO")</f>
        <v>✗ NO</v>
      </c>
    </row>
    <row r="8" customFormat="false" ht="18" hidden="false" customHeight="true" outlineLevel="0" collapsed="false">
      <c r="A8" s="4" t="s">
        <v>91</v>
      </c>
      <c r="B8" s="20"/>
      <c r="C8" s="20"/>
      <c r="D8" s="20"/>
      <c r="E8" s="20"/>
      <c r="F8" s="20"/>
      <c r="G8" s="26" t="str">
        <f aca="false">IF(SUMPRODUCT((B8:F8&lt;&gt;"")*(_xlfn.CONCAT(B8:F8)&lt;&gt;"NOT MENTIONED"))&gt;0,"✓ YES","✗ NO")</f>
        <v>✗ NO</v>
      </c>
    </row>
    <row r="9" customFormat="false" ht="18" hidden="false" customHeight="true" outlineLevel="0" collapsed="false">
      <c r="A9" s="4" t="s">
        <v>92</v>
      </c>
      <c r="B9" s="20"/>
      <c r="C9" s="20"/>
      <c r="D9" s="20"/>
      <c r="E9" s="20"/>
      <c r="F9" s="20"/>
      <c r="G9" s="26" t="str">
        <f aca="false">IF(SUMPRODUCT((B9:F9&lt;&gt;"")*(_xlfn.CONCAT(B9:F9)&lt;&gt;"NOT MENTIONED"))&gt;0,"✓ YES","✗ NO")</f>
        <v>✗ NO</v>
      </c>
    </row>
    <row r="10" customFormat="false" ht="18" hidden="false" customHeight="true" outlineLevel="0" collapsed="false">
      <c r="A10" s="4" t="s">
        <v>93</v>
      </c>
      <c r="B10" s="20"/>
      <c r="C10" s="20"/>
      <c r="D10" s="20"/>
      <c r="E10" s="20"/>
      <c r="F10" s="20"/>
      <c r="G10" s="26" t="str">
        <f aca="false">IF(SUMPRODUCT((B10:F10&lt;&gt;"")*(_xlfn.CONCAT(B10:F10)&lt;&gt;"NOT MENTIONED"))&gt;0,"✓ YES","✗ NO")</f>
        <v>✗ NO</v>
      </c>
    </row>
    <row r="11" customFormat="false" ht="18" hidden="false" customHeight="true" outlineLevel="0" collapsed="false">
      <c r="A11" s="4" t="s">
        <v>94</v>
      </c>
      <c r="B11" s="20"/>
      <c r="C11" s="20"/>
      <c r="D11" s="20"/>
      <c r="E11" s="20"/>
      <c r="F11" s="20"/>
      <c r="G11" s="26" t="str">
        <f aca="false">IF(SUMPRODUCT((B11:F11&lt;&gt;"")*(_xlfn.CONCAT(B11:F11)&lt;&gt;"NOT MENTIONED"))&gt;0,"✓ YES","✗ NO")</f>
        <v>✗ NO</v>
      </c>
    </row>
    <row r="12" customFormat="false" ht="18" hidden="false" customHeight="true" outlineLevel="0" collapsed="false">
      <c r="A12" s="4" t="s">
        <v>95</v>
      </c>
      <c r="B12" s="20"/>
      <c r="C12" s="20"/>
      <c r="D12" s="20"/>
      <c r="E12" s="20"/>
      <c r="F12" s="20"/>
      <c r="G12" s="26" t="str">
        <f aca="false">IF(SUMPRODUCT((B12:F12&lt;&gt;"")*(_xlfn.CONCAT(B12:F12)&lt;&gt;"NOT MENTIONED"))&gt;0,"✓ YES","✗ NO")</f>
        <v>✗ NO</v>
      </c>
    </row>
    <row r="13" customFormat="false" ht="18" hidden="false" customHeight="true" outlineLevel="0" collapsed="false">
      <c r="A13" s="4" t="s">
        <v>96</v>
      </c>
      <c r="B13" s="20"/>
      <c r="C13" s="20"/>
      <c r="D13" s="20"/>
      <c r="E13" s="20"/>
      <c r="F13" s="20"/>
      <c r="G13" s="26" t="str">
        <f aca="false">IF(SUMPRODUCT((B13:F13&lt;&gt;"")*(_xlfn.CONCAT(B13:F13)&lt;&gt;"NOT MENTIONED"))&gt;0,"✓ YES","✗ NO")</f>
        <v>✗ NO</v>
      </c>
    </row>
    <row r="14" customFormat="false" ht="18" hidden="false" customHeight="true" outlineLevel="0" collapsed="false">
      <c r="A14" s="4" t="s">
        <v>97</v>
      </c>
      <c r="B14" s="20"/>
      <c r="C14" s="20"/>
      <c r="D14" s="20"/>
      <c r="E14" s="20"/>
      <c r="F14" s="20"/>
      <c r="G14" s="26" t="str">
        <f aca="false">IF(SUMPRODUCT((B14:F14&lt;&gt;"")*(_xlfn.CONCAT(B14:F14)&lt;&gt;"NOT MENTIONED"))&gt;0,"✓ YES","✗ NO")</f>
        <v>✗ NO</v>
      </c>
    </row>
    <row r="15" customFormat="false" ht="18" hidden="false" customHeight="true" outlineLevel="0" collapsed="false">
      <c r="A15" s="4" t="s">
        <v>98</v>
      </c>
      <c r="B15" s="20"/>
      <c r="C15" s="20"/>
      <c r="D15" s="20"/>
      <c r="E15" s="20"/>
      <c r="F15" s="20"/>
      <c r="G15" s="26" t="str">
        <f aca="false">IF(SUMPRODUCT((B15:F15&lt;&gt;"")*(_xlfn.CONCAT(B15:F15)&lt;&gt;"NOT MENTIONED"))&gt;0,"✓ YES","✗ NO")</f>
        <v>✗ NO</v>
      </c>
    </row>
    <row r="17" customFormat="false" ht="19.5" hidden="false" customHeight="true" outlineLevel="0" collapsed="false">
      <c r="A17" s="6" t="s">
        <v>99</v>
      </c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22" t="s">
        <v>100</v>
      </c>
      <c r="B18" s="22"/>
      <c r="C18" s="26" t="n">
        <f aca="false">COUNTIF(G6:G16,"✓ YES")</f>
        <v>0</v>
      </c>
    </row>
    <row r="19" customFormat="false" ht="15" hidden="false" customHeight="false" outlineLevel="0" collapsed="false">
      <c r="A19" s="23" t="s">
        <v>101</v>
      </c>
      <c r="B19" s="23"/>
      <c r="C19" s="27" t="n">
        <f aca="false">COUNTIF(G6:G16,"✓ YES")/10</f>
        <v>0</v>
      </c>
    </row>
  </sheetData>
  <mergeCells count="6">
    <mergeCell ref="A1:G1"/>
    <mergeCell ref="A2:G2"/>
    <mergeCell ref="A3:G3"/>
    <mergeCell ref="A17:G17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30" hidden="false" customHeight="true" outlineLevel="0" collapsed="false">
      <c r="A1" s="7" t="s">
        <v>102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A2" s="8" t="s">
        <v>103</v>
      </c>
      <c r="B2" s="8"/>
      <c r="C2" s="8"/>
      <c r="D2" s="8"/>
      <c r="E2" s="8"/>
      <c r="F2" s="8"/>
      <c r="G2" s="8"/>
    </row>
    <row r="4" customFormat="false" ht="15" hidden="false" customHeight="false" outlineLevel="0" collapsed="false">
      <c r="A4" s="9" t="s">
        <v>104</v>
      </c>
      <c r="B4" s="9" t="s">
        <v>105</v>
      </c>
      <c r="C4" s="9" t="s">
        <v>106</v>
      </c>
      <c r="D4" s="9" t="s">
        <v>107</v>
      </c>
      <c r="E4" s="9" t="s">
        <v>108</v>
      </c>
      <c r="F4" s="9" t="s">
        <v>109</v>
      </c>
      <c r="G4" s="9" t="s">
        <v>110</v>
      </c>
    </row>
    <row r="5" customFormat="false" ht="16.5" hidden="false" customHeight="true" outlineLevel="0" collapsed="false">
      <c r="A5" s="4" t="s">
        <v>111</v>
      </c>
      <c r="B5" s="28" t="s">
        <v>112</v>
      </c>
      <c r="C5" s="20"/>
      <c r="D5" s="20"/>
      <c r="E5" s="20"/>
      <c r="F5" s="20"/>
      <c r="G5" s="20"/>
    </row>
    <row r="6" customFormat="false" ht="16.5" hidden="false" customHeight="true" outlineLevel="0" collapsed="false">
      <c r="A6" s="4" t="s">
        <v>113</v>
      </c>
      <c r="B6" s="28" t="s">
        <v>114</v>
      </c>
      <c r="C6" s="20"/>
      <c r="D6" s="20"/>
      <c r="E6" s="20"/>
      <c r="F6" s="20"/>
      <c r="G6" s="20"/>
    </row>
    <row r="7" customFormat="false" ht="16.5" hidden="false" customHeight="true" outlineLevel="0" collapsed="false">
      <c r="A7" s="4" t="s">
        <v>115</v>
      </c>
      <c r="B7" s="28" t="s">
        <v>116</v>
      </c>
      <c r="C7" s="20"/>
      <c r="D7" s="20"/>
      <c r="E7" s="20"/>
      <c r="F7" s="20"/>
      <c r="G7" s="20"/>
    </row>
    <row r="8" customFormat="false" ht="16.5" hidden="false" customHeight="true" outlineLevel="0" collapsed="false">
      <c r="A8" s="4" t="s">
        <v>117</v>
      </c>
      <c r="B8" s="28" t="s">
        <v>118</v>
      </c>
      <c r="C8" s="20"/>
      <c r="D8" s="20"/>
      <c r="E8" s="20"/>
      <c r="F8" s="20"/>
      <c r="G8" s="20"/>
    </row>
    <row r="9" customFormat="false" ht="16.5" hidden="false" customHeight="true" outlineLevel="0" collapsed="false">
      <c r="A9" s="4" t="s">
        <v>119</v>
      </c>
      <c r="B9" s="28" t="s">
        <v>120</v>
      </c>
      <c r="C9" s="20"/>
      <c r="D9" s="20"/>
      <c r="E9" s="20"/>
      <c r="F9" s="20"/>
      <c r="G9" s="20"/>
    </row>
    <row r="10" customFormat="false" ht="16.5" hidden="false" customHeight="true" outlineLevel="0" collapsed="false">
      <c r="A10" s="4" t="s">
        <v>121</v>
      </c>
      <c r="B10" s="28" t="s">
        <v>122</v>
      </c>
      <c r="C10" s="20"/>
      <c r="D10" s="20"/>
      <c r="E10" s="20"/>
      <c r="F10" s="20"/>
      <c r="G10" s="20"/>
    </row>
    <row r="11" customFormat="false" ht="16.5" hidden="false" customHeight="true" outlineLevel="0" collapsed="false">
      <c r="A11" s="4" t="s">
        <v>123</v>
      </c>
      <c r="B11" s="28" t="s">
        <v>124</v>
      </c>
      <c r="C11" s="20"/>
      <c r="D11" s="20"/>
      <c r="E11" s="20"/>
      <c r="F11" s="20"/>
      <c r="G11" s="20"/>
    </row>
    <row r="12" customFormat="false" ht="16.5" hidden="false" customHeight="true" outlineLevel="0" collapsed="false">
      <c r="A12" s="4" t="s">
        <v>125</v>
      </c>
      <c r="B12" s="28" t="s">
        <v>126</v>
      </c>
      <c r="C12" s="20"/>
      <c r="D12" s="20"/>
      <c r="E12" s="20"/>
      <c r="F12" s="20"/>
      <c r="G12" s="20"/>
    </row>
    <row r="13" customFormat="false" ht="16.5" hidden="false" customHeight="true" outlineLevel="0" collapsed="false">
      <c r="A13" s="4" t="s">
        <v>127</v>
      </c>
      <c r="B13" s="28" t="s">
        <v>128</v>
      </c>
      <c r="C13" s="20"/>
      <c r="D13" s="20"/>
      <c r="E13" s="20"/>
      <c r="F13" s="20"/>
      <c r="G13" s="20"/>
    </row>
    <row r="14" customFormat="false" ht="16.5" hidden="false" customHeight="true" outlineLevel="0" collapsed="false">
      <c r="A14" s="4" t="s">
        <v>129</v>
      </c>
      <c r="B14" s="28" t="s">
        <v>130</v>
      </c>
      <c r="C14" s="20"/>
      <c r="D14" s="20"/>
      <c r="E14" s="20"/>
      <c r="F14" s="20"/>
      <c r="G14" s="20"/>
    </row>
    <row r="15" customFormat="false" ht="16.5" hidden="false" customHeight="true" outlineLevel="0" collapsed="false">
      <c r="A15" s="4" t="s">
        <v>131</v>
      </c>
      <c r="B15" s="28" t="s">
        <v>132</v>
      </c>
      <c r="C15" s="20"/>
      <c r="D15" s="20"/>
      <c r="E15" s="20"/>
      <c r="F15" s="20"/>
      <c r="G15" s="20"/>
    </row>
    <row r="16" customFormat="false" ht="16.5" hidden="false" customHeight="true" outlineLevel="0" collapsed="false">
      <c r="A16" s="4" t="s">
        <v>133</v>
      </c>
      <c r="B16" s="28" t="s">
        <v>134</v>
      </c>
      <c r="C16" s="20"/>
      <c r="D16" s="20"/>
      <c r="E16" s="20"/>
      <c r="F16" s="20"/>
      <c r="G16" s="20"/>
    </row>
    <row r="17" customFormat="false" ht="16.5" hidden="false" customHeight="true" outlineLevel="0" collapsed="false">
      <c r="A17" s="4" t="s">
        <v>135</v>
      </c>
      <c r="B17" s="28" t="s">
        <v>136</v>
      </c>
      <c r="C17" s="20"/>
      <c r="D17" s="20"/>
      <c r="E17" s="20"/>
      <c r="F17" s="20"/>
      <c r="G17" s="20"/>
    </row>
    <row r="18" customFormat="false" ht="16.5" hidden="false" customHeight="true" outlineLevel="0" collapsed="false">
      <c r="A18" s="4" t="s">
        <v>137</v>
      </c>
      <c r="B18" s="28" t="s">
        <v>138</v>
      </c>
      <c r="C18" s="20"/>
      <c r="D18" s="20"/>
      <c r="E18" s="20"/>
      <c r="F18" s="20"/>
      <c r="G18" s="20"/>
    </row>
    <row r="19" customFormat="false" ht="16.5" hidden="false" customHeight="true" outlineLevel="0" collapsed="false">
      <c r="A19" s="4" t="s">
        <v>139</v>
      </c>
      <c r="B19" s="28" t="s">
        <v>140</v>
      </c>
      <c r="C19" s="20"/>
      <c r="D19" s="20"/>
      <c r="E19" s="20"/>
      <c r="F19" s="20"/>
      <c r="G19" s="20"/>
    </row>
    <row r="20" customFormat="false" ht="16.5" hidden="false" customHeight="true" outlineLevel="0" collapsed="false">
      <c r="A20" s="4" t="s">
        <v>141</v>
      </c>
      <c r="B20" s="28" t="s">
        <v>142</v>
      </c>
      <c r="C20" s="20"/>
      <c r="D20" s="20"/>
      <c r="E20" s="20"/>
      <c r="F20" s="20"/>
      <c r="G20" s="20"/>
    </row>
    <row r="21" customFormat="false" ht="16.5" hidden="false" customHeight="true" outlineLevel="0" collapsed="false">
      <c r="A21" s="4" t="s">
        <v>143</v>
      </c>
      <c r="B21" s="28" t="s">
        <v>144</v>
      </c>
      <c r="C21" s="20"/>
      <c r="D21" s="20"/>
      <c r="E21" s="20"/>
      <c r="F21" s="20"/>
      <c r="G21" s="20"/>
    </row>
    <row r="22" customFormat="false" ht="16.5" hidden="false" customHeight="true" outlineLevel="0" collapsed="false">
      <c r="A22" s="4" t="s">
        <v>143</v>
      </c>
      <c r="B22" s="28" t="s">
        <v>145</v>
      </c>
      <c r="C22" s="20"/>
      <c r="D22" s="20"/>
      <c r="E22" s="20"/>
      <c r="F22" s="20"/>
      <c r="G22" s="20"/>
    </row>
    <row r="24" customFormat="false" ht="19.5" hidden="false" customHeight="true" outlineLevel="0" collapsed="false">
      <c r="A24" s="6" t="s">
        <v>146</v>
      </c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22" t="s">
        <v>147</v>
      </c>
      <c r="B25" s="22"/>
      <c r="C25" s="26" t="n">
        <f aca="false">COUNTIF(C5:C22,"Y")+COUNTIF(C5:C22,"Yes")+COUNTIF(C5:C22,"YES")</f>
        <v>0</v>
      </c>
    </row>
    <row r="26" customFormat="false" ht="15" hidden="false" customHeight="false" outlineLevel="0" collapsed="false">
      <c r="A26" s="23" t="s">
        <v>148</v>
      </c>
      <c r="B26" s="23"/>
      <c r="C26" s="26" t="n">
        <f aca="false">COUNTA(C5:C22)-COUNTIF(C5:C22,"")-C25</f>
        <v>-18</v>
      </c>
    </row>
  </sheetData>
  <mergeCells count="5">
    <mergeCell ref="A1:G1"/>
    <mergeCell ref="A2:G2"/>
    <mergeCell ref="A24:G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149</v>
      </c>
      <c r="B1" s="7"/>
      <c r="C1" s="7"/>
      <c r="D1" s="7"/>
      <c r="E1" s="7"/>
      <c r="F1" s="7"/>
      <c r="G1" s="7"/>
      <c r="H1" s="7"/>
    </row>
    <row r="2" customFormat="false" ht="15" hidden="false" customHeight="true" outlineLevel="0" collapsed="false">
      <c r="A2" s="8" t="s">
        <v>150</v>
      </c>
      <c r="B2" s="8"/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A4" s="9" t="s">
        <v>62</v>
      </c>
      <c r="B4" s="9" t="s">
        <v>151</v>
      </c>
      <c r="C4" s="9" t="s">
        <v>64</v>
      </c>
      <c r="D4" s="9" t="s">
        <v>152</v>
      </c>
      <c r="E4" s="9" t="s">
        <v>153</v>
      </c>
      <c r="F4" s="9" t="s">
        <v>101</v>
      </c>
      <c r="G4" s="9" t="s">
        <v>154</v>
      </c>
      <c r="H4" s="9" t="s">
        <v>155</v>
      </c>
    </row>
    <row r="5" customFormat="false" ht="19.5" hidden="false" customHeight="true" outlineLevel="0" collapsed="false">
      <c r="A5" s="18" t="s">
        <v>69</v>
      </c>
      <c r="B5" s="20"/>
      <c r="C5" s="20"/>
      <c r="D5" s="20"/>
      <c r="E5" s="20"/>
      <c r="F5" s="20"/>
      <c r="G5" s="20"/>
      <c r="H5" s="20"/>
    </row>
    <row r="6" customFormat="false" ht="19.5" hidden="false" customHeight="true" outlineLevel="0" collapsed="false">
      <c r="A6" s="11" t="s">
        <v>71</v>
      </c>
      <c r="B6" s="20"/>
      <c r="C6" s="20"/>
      <c r="D6" s="20"/>
      <c r="E6" s="20"/>
      <c r="F6" s="20"/>
      <c r="G6" s="20"/>
      <c r="H6" s="20"/>
    </row>
    <row r="7" customFormat="false" ht="19.5" hidden="false" customHeight="true" outlineLevel="0" collapsed="false">
      <c r="A7" s="11" t="s">
        <v>73</v>
      </c>
      <c r="B7" s="20"/>
      <c r="C7" s="20"/>
      <c r="D7" s="20"/>
      <c r="E7" s="20"/>
      <c r="F7" s="20"/>
      <c r="G7" s="20"/>
      <c r="H7" s="20"/>
    </row>
    <row r="8" customFormat="false" ht="19.5" hidden="false" customHeight="true" outlineLevel="0" collapsed="false">
      <c r="A8" s="11" t="s">
        <v>74</v>
      </c>
      <c r="B8" s="20"/>
      <c r="C8" s="20"/>
      <c r="D8" s="20"/>
      <c r="E8" s="20"/>
      <c r="F8" s="20"/>
      <c r="G8" s="20"/>
      <c r="H8" s="2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0"/>
  </cols>
  <sheetData>
    <row r="1" customFormat="false" ht="30" hidden="false" customHeight="true" outlineLevel="0" collapsed="false">
      <c r="A1" s="7" t="s">
        <v>156</v>
      </c>
      <c r="B1" s="7"/>
      <c r="C1" s="7"/>
      <c r="D1" s="7"/>
      <c r="E1" s="7"/>
      <c r="F1" s="7"/>
      <c r="G1" s="7"/>
      <c r="H1" s="7"/>
    </row>
    <row r="2" customFormat="false" ht="15" hidden="false" customHeight="true" outlineLevel="0" collapsed="false">
      <c r="A2" s="8" t="s">
        <v>157</v>
      </c>
      <c r="B2" s="8"/>
      <c r="C2" s="8"/>
      <c r="D2" s="8"/>
      <c r="E2" s="8"/>
      <c r="F2" s="8"/>
      <c r="G2" s="8"/>
      <c r="H2" s="8"/>
    </row>
    <row r="4" customFormat="false" ht="15" hidden="false" customHeight="false" outlineLevel="0" collapsed="false">
      <c r="A4" s="9" t="s">
        <v>110</v>
      </c>
      <c r="B4" s="9" t="s">
        <v>158</v>
      </c>
      <c r="C4" s="9" t="s">
        <v>26</v>
      </c>
      <c r="D4" s="9" t="s">
        <v>159</v>
      </c>
      <c r="E4" s="9" t="s">
        <v>160</v>
      </c>
      <c r="F4" s="9" t="s">
        <v>161</v>
      </c>
      <c r="G4" s="9" t="s">
        <v>162</v>
      </c>
      <c r="H4" s="9" t="s">
        <v>163</v>
      </c>
    </row>
    <row r="5" customFormat="false" ht="18" hidden="false" customHeight="true" outlineLevel="0" collapsed="false">
      <c r="A5" s="10" t="n">
        <v>1</v>
      </c>
      <c r="B5" s="11" t="s">
        <v>164</v>
      </c>
      <c r="C5" s="29" t="s">
        <v>165</v>
      </c>
      <c r="D5" s="30" t="s">
        <v>166</v>
      </c>
      <c r="E5" s="29" t="s">
        <v>167</v>
      </c>
      <c r="F5" s="11" t="s">
        <v>168</v>
      </c>
      <c r="G5" s="11" t="s">
        <v>169</v>
      </c>
      <c r="H5" s="20" t="s">
        <v>170</v>
      </c>
    </row>
    <row r="6" customFormat="false" ht="18" hidden="false" customHeight="true" outlineLevel="0" collapsed="false">
      <c r="A6" s="10" t="n">
        <v>2</v>
      </c>
      <c r="B6" s="11" t="s">
        <v>171</v>
      </c>
      <c r="C6" s="29" t="s">
        <v>165</v>
      </c>
      <c r="D6" s="30" t="s">
        <v>166</v>
      </c>
      <c r="E6" s="29" t="s">
        <v>167</v>
      </c>
      <c r="F6" s="11" t="s">
        <v>168</v>
      </c>
      <c r="G6" s="11" t="s">
        <v>172</v>
      </c>
      <c r="H6" s="20" t="s">
        <v>170</v>
      </c>
    </row>
    <row r="7" customFormat="false" ht="18" hidden="false" customHeight="true" outlineLevel="0" collapsed="false">
      <c r="A7" s="10" t="n">
        <v>3</v>
      </c>
      <c r="B7" s="11" t="s">
        <v>173</v>
      </c>
      <c r="C7" s="29" t="s">
        <v>165</v>
      </c>
      <c r="D7" s="30" t="s">
        <v>166</v>
      </c>
      <c r="E7" s="29" t="s">
        <v>167</v>
      </c>
      <c r="F7" s="11" t="s">
        <v>174</v>
      </c>
      <c r="G7" s="11" t="s">
        <v>175</v>
      </c>
      <c r="H7" s="20" t="s">
        <v>170</v>
      </c>
    </row>
    <row r="8" customFormat="false" ht="18" hidden="false" customHeight="true" outlineLevel="0" collapsed="false">
      <c r="A8" s="10" t="n">
        <v>4</v>
      </c>
      <c r="B8" s="11" t="s">
        <v>176</v>
      </c>
      <c r="C8" s="29" t="s">
        <v>177</v>
      </c>
      <c r="D8" s="30" t="s">
        <v>166</v>
      </c>
      <c r="E8" s="29" t="s">
        <v>178</v>
      </c>
      <c r="F8" s="11" t="s">
        <v>174</v>
      </c>
      <c r="G8" s="11" t="s">
        <v>179</v>
      </c>
      <c r="H8" s="20" t="s">
        <v>170</v>
      </c>
    </row>
    <row r="9" customFormat="false" ht="18" hidden="false" customHeight="true" outlineLevel="0" collapsed="false">
      <c r="A9" s="10" t="n">
        <v>5</v>
      </c>
      <c r="B9" s="11" t="s">
        <v>180</v>
      </c>
      <c r="C9" s="29" t="s">
        <v>177</v>
      </c>
      <c r="D9" s="20" t="s">
        <v>178</v>
      </c>
      <c r="E9" s="29" t="s">
        <v>167</v>
      </c>
      <c r="F9" s="11" t="s">
        <v>181</v>
      </c>
      <c r="G9" s="11" t="s">
        <v>172</v>
      </c>
      <c r="H9" s="20" t="s">
        <v>170</v>
      </c>
    </row>
    <row r="10" customFormat="false" ht="18" hidden="false" customHeight="true" outlineLevel="0" collapsed="false">
      <c r="A10" s="10" t="n">
        <v>6</v>
      </c>
      <c r="B10" s="11" t="s">
        <v>182</v>
      </c>
      <c r="C10" s="29" t="s">
        <v>165</v>
      </c>
      <c r="D10" s="20" t="s">
        <v>178</v>
      </c>
      <c r="E10" s="29" t="s">
        <v>178</v>
      </c>
      <c r="F10" s="11" t="s">
        <v>183</v>
      </c>
      <c r="G10" s="11" t="s">
        <v>179</v>
      </c>
      <c r="H10" s="20" t="s">
        <v>170</v>
      </c>
    </row>
    <row r="11" customFormat="false" ht="18" hidden="false" customHeight="true" outlineLevel="0" collapsed="false">
      <c r="A11" s="10" t="n">
        <v>7</v>
      </c>
      <c r="B11" s="11" t="s">
        <v>184</v>
      </c>
      <c r="C11" s="29" t="s">
        <v>185</v>
      </c>
      <c r="D11" s="30" t="s">
        <v>166</v>
      </c>
      <c r="E11" s="29" t="s">
        <v>178</v>
      </c>
      <c r="F11" s="11" t="s">
        <v>186</v>
      </c>
      <c r="G11" s="11" t="s">
        <v>187</v>
      </c>
      <c r="H11" s="20" t="s">
        <v>170</v>
      </c>
    </row>
    <row r="12" customFormat="false" ht="18" hidden="false" customHeight="true" outlineLevel="0" collapsed="false">
      <c r="A12" s="10" t="n">
        <v>8</v>
      </c>
      <c r="B12" s="11" t="s">
        <v>188</v>
      </c>
      <c r="C12" s="29" t="s">
        <v>185</v>
      </c>
      <c r="D12" s="30" t="s">
        <v>166</v>
      </c>
      <c r="E12" s="29" t="s">
        <v>178</v>
      </c>
      <c r="F12" s="11" t="s">
        <v>186</v>
      </c>
      <c r="G12" s="11" t="s">
        <v>187</v>
      </c>
      <c r="H12" s="20" t="s">
        <v>170</v>
      </c>
    </row>
    <row r="13" customFormat="false" ht="18" hidden="false" customHeight="true" outlineLevel="0" collapsed="false">
      <c r="A13" s="10" t="n">
        <v>9</v>
      </c>
      <c r="B13" s="11" t="s">
        <v>189</v>
      </c>
      <c r="C13" s="29" t="s">
        <v>185</v>
      </c>
      <c r="D13" s="30" t="s">
        <v>166</v>
      </c>
      <c r="E13" s="29" t="s">
        <v>178</v>
      </c>
      <c r="F13" s="11" t="s">
        <v>186</v>
      </c>
      <c r="G13" s="11" t="s">
        <v>187</v>
      </c>
      <c r="H13" s="20" t="s">
        <v>170</v>
      </c>
    </row>
    <row r="14" customFormat="false" ht="18" hidden="false" customHeight="true" outlineLevel="0" collapsed="false">
      <c r="A14" s="10" t="n">
        <v>10</v>
      </c>
      <c r="B14" s="11" t="s">
        <v>190</v>
      </c>
      <c r="C14" s="29" t="s">
        <v>185</v>
      </c>
      <c r="D14" s="30" t="s">
        <v>166</v>
      </c>
      <c r="E14" s="29" t="s">
        <v>178</v>
      </c>
      <c r="F14" s="11" t="s">
        <v>186</v>
      </c>
      <c r="G14" s="11" t="s">
        <v>191</v>
      </c>
      <c r="H14" s="20" t="s">
        <v>170</v>
      </c>
    </row>
    <row r="15" customFormat="false" ht="18" hidden="false" customHeight="true" outlineLevel="0" collapsed="false">
      <c r="A15" s="10" t="n">
        <v>11</v>
      </c>
      <c r="B15" s="11" t="s">
        <v>192</v>
      </c>
      <c r="C15" s="29" t="s">
        <v>193</v>
      </c>
      <c r="D15" s="30" t="s">
        <v>166</v>
      </c>
      <c r="E15" s="29" t="s">
        <v>178</v>
      </c>
      <c r="F15" s="11" t="s">
        <v>194</v>
      </c>
      <c r="G15" s="11" t="s">
        <v>195</v>
      </c>
      <c r="H15" s="20" t="s">
        <v>170</v>
      </c>
    </row>
    <row r="16" customFormat="false" ht="18" hidden="false" customHeight="true" outlineLevel="0" collapsed="false">
      <c r="A16" s="10" t="n">
        <v>12</v>
      </c>
      <c r="B16" s="11" t="s">
        <v>196</v>
      </c>
      <c r="C16" s="29" t="s">
        <v>193</v>
      </c>
      <c r="D16" s="20" t="s">
        <v>178</v>
      </c>
      <c r="E16" s="29" t="s">
        <v>178</v>
      </c>
      <c r="F16" s="11" t="s">
        <v>194</v>
      </c>
      <c r="G16" s="11" t="s">
        <v>191</v>
      </c>
      <c r="H16" s="20" t="s">
        <v>170</v>
      </c>
    </row>
    <row r="17" customFormat="false" ht="18" hidden="false" customHeight="true" outlineLevel="0" collapsed="false">
      <c r="A17" s="10" t="n">
        <v>13</v>
      </c>
      <c r="B17" s="11" t="s">
        <v>197</v>
      </c>
      <c r="C17" s="29" t="s">
        <v>165</v>
      </c>
      <c r="D17" s="20" t="s">
        <v>178</v>
      </c>
      <c r="E17" s="29" t="s">
        <v>167</v>
      </c>
      <c r="F17" s="11" t="s">
        <v>174</v>
      </c>
      <c r="G17" s="11" t="s">
        <v>172</v>
      </c>
      <c r="H17" s="20" t="s">
        <v>170</v>
      </c>
    </row>
    <row r="18" customFormat="false" ht="18" hidden="false" customHeight="true" outlineLevel="0" collapsed="false">
      <c r="A18" s="10" t="n">
        <v>14</v>
      </c>
      <c r="B18" s="11" t="s">
        <v>198</v>
      </c>
      <c r="C18" s="29" t="s">
        <v>199</v>
      </c>
      <c r="D18" s="20" t="s">
        <v>178</v>
      </c>
      <c r="E18" s="29" t="s">
        <v>167</v>
      </c>
      <c r="F18" s="11" t="s">
        <v>174</v>
      </c>
      <c r="G18" s="11" t="s">
        <v>200</v>
      </c>
      <c r="H18" s="20" t="s">
        <v>170</v>
      </c>
    </row>
    <row r="19" customFormat="false" ht="18" hidden="false" customHeight="true" outlineLevel="0" collapsed="false">
      <c r="A19" s="10" t="n">
        <v>15</v>
      </c>
      <c r="B19" s="11" t="s">
        <v>201</v>
      </c>
      <c r="C19" s="29" t="s">
        <v>193</v>
      </c>
      <c r="D19" s="20" t="s">
        <v>178</v>
      </c>
      <c r="E19" s="29" t="s">
        <v>167</v>
      </c>
      <c r="F19" s="11" t="s">
        <v>183</v>
      </c>
      <c r="G19" s="11" t="s">
        <v>202</v>
      </c>
      <c r="H19" s="20" t="s">
        <v>170</v>
      </c>
    </row>
    <row r="20" customFormat="false" ht="18" hidden="false" customHeight="true" outlineLevel="0" collapsed="false">
      <c r="A20" s="31" t="n">
        <v>16</v>
      </c>
      <c r="B20" s="13"/>
      <c r="C20" s="13"/>
      <c r="D20" s="13"/>
      <c r="E20" s="13"/>
      <c r="F20" s="13"/>
      <c r="G20" s="13"/>
      <c r="H20" s="13"/>
    </row>
    <row r="21" customFormat="false" ht="18" hidden="false" customHeight="true" outlineLevel="0" collapsed="false">
      <c r="A21" s="31" t="n">
        <v>17</v>
      </c>
      <c r="B21" s="13"/>
      <c r="C21" s="13"/>
      <c r="D21" s="13"/>
      <c r="E21" s="13"/>
      <c r="F21" s="13"/>
      <c r="G21" s="13"/>
      <c r="H21" s="13"/>
    </row>
    <row r="22" customFormat="false" ht="18" hidden="false" customHeight="true" outlineLevel="0" collapsed="false">
      <c r="A22" s="31" t="n">
        <v>18</v>
      </c>
      <c r="B22" s="13"/>
      <c r="C22" s="13"/>
      <c r="D22" s="13"/>
      <c r="E22" s="13"/>
      <c r="F22" s="13"/>
      <c r="G22" s="13"/>
      <c r="H22" s="13"/>
    </row>
    <row r="23" customFormat="false" ht="18" hidden="false" customHeight="true" outlineLevel="0" collapsed="false">
      <c r="A23" s="31" t="n">
        <v>19</v>
      </c>
      <c r="B23" s="13"/>
      <c r="C23" s="13"/>
      <c r="D23" s="13"/>
      <c r="E23" s="13"/>
      <c r="F23" s="13"/>
      <c r="G23" s="13"/>
      <c r="H23" s="13"/>
    </row>
    <row r="24" customFormat="false" ht="18" hidden="false" customHeight="true" outlineLevel="0" collapsed="false">
      <c r="A24" s="31" t="n">
        <v>20</v>
      </c>
      <c r="B24" s="13"/>
      <c r="C24" s="13"/>
      <c r="D24" s="13"/>
      <c r="E24" s="13"/>
      <c r="F24" s="13"/>
      <c r="G24" s="13"/>
      <c r="H24" s="1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2026-07-19T16:12:38Z</dcterms:created>
  <dc:creator>openpyxl</dc:creator>
  <dc:description/>
  <dc:language>en-US</dc:language>
  <cp:lastModifiedBy/>
  <dcterms:modified xsi:type="dcterms:W3CDTF">2026-07-19T16:12:38Z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